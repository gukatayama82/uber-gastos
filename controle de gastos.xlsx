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f9bf9fa3eebb30/Documentos/Clientes/Uber/"/>
    </mc:Choice>
  </mc:AlternateContent>
  <xr:revisionPtr revIDLastSave="25" documentId="8_{B3B9D870-8AA1-459B-BC90-BBE7733AA72F}" xr6:coauthVersionLast="47" xr6:coauthVersionMax="47" xr10:uidLastSave="{0F4036E5-C1C8-469E-9F93-652178DFA7FF}"/>
  <bookViews>
    <workbookView xWindow="1131" yWindow="1131" windowWidth="24686" windowHeight="13055" xr2:uid="{9578FDDA-1C60-4CB9-95AB-D35DA68A2B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" i="1" l="1"/>
  <c r="C18" i="1"/>
  <c r="B26" i="1" s="1"/>
  <c r="B18" i="1"/>
  <c r="E18" i="1"/>
  <c r="B28" i="1" s="1"/>
  <c r="C27" i="1" l="1"/>
  <c r="B27" i="1"/>
  <c r="C26" i="1" l="1"/>
  <c r="F26" i="1" s="1"/>
  <c r="C28" i="1"/>
  <c r="F28" i="1" s="1"/>
  <c r="F27" i="1"/>
</calcChain>
</file>

<file path=xl/sharedStrings.xml><?xml version="1.0" encoding="utf-8"?>
<sst xmlns="http://schemas.openxmlformats.org/spreadsheetml/2006/main" count="38" uniqueCount="32">
  <si>
    <t>DESPESAS COMPARTILHADAS</t>
  </si>
  <si>
    <t>Despesa</t>
  </si>
  <si>
    <t>Valor Total</t>
  </si>
  <si>
    <t>Gu</t>
  </si>
  <si>
    <t>PH</t>
  </si>
  <si>
    <t>Patrício</t>
  </si>
  <si>
    <t>Frete / Guincho</t>
  </si>
  <si>
    <t>Tramitação / Logística</t>
  </si>
  <si>
    <t>Oficina</t>
  </si>
  <si>
    <t>Bateria</t>
  </si>
  <si>
    <t>Rastreador</t>
  </si>
  <si>
    <t>TBI</t>
  </si>
  <si>
    <t>Seguro</t>
  </si>
  <si>
    <t>Uber</t>
  </si>
  <si>
    <t>Documentação</t>
  </si>
  <si>
    <t>TOTAL</t>
  </si>
  <si>
    <t>REPASSES</t>
  </si>
  <si>
    <t>Data</t>
  </si>
  <si>
    <t>De</t>
  </si>
  <si>
    <t>Para</t>
  </si>
  <si>
    <t>Valor</t>
  </si>
  <si>
    <t>RESUMO</t>
  </si>
  <si>
    <t>Sócio</t>
  </si>
  <si>
    <t>Despesas Pagas</t>
  </si>
  <si>
    <t>Cota (1/3)</t>
  </si>
  <si>
    <t>PIX Enviados</t>
  </si>
  <si>
    <t>PIX Recebidos</t>
  </si>
  <si>
    <t>Saldo</t>
  </si>
  <si>
    <t>Últimos itens (2k já enviado)</t>
  </si>
  <si>
    <t>Últimos itens restantes</t>
  </si>
  <si>
    <t>Correia</t>
  </si>
  <si>
    <t>Silvio Mecânico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</si>
</sst>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6"/>
      <name val="Calibri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17" fontId="1" fillId="0" borderId="1" xfId="0" applyNumberFormat="1" applyFont="1" applyBorder="1" applyAlignment="1">
      <alignment horizontal="left"/>
    </xf>
    <xf numFmtId="0" fontId="3" fillId="2" borderId="1" xfId="0" applyFont="1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2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9160-25D3-4700-888D-46835F3862A4}">
  <dimension ref="A1:I28"/>
  <sheetViews>
    <sheetView tabSelected="1" workbookViewId="0">
      <selection activeCell="I15" sqref="I15"/>
    </sheetView>
  </sheetViews>
  <sheetFormatPr defaultRowHeight="14.6" x14ac:dyDescent="0.4"/>
  <cols>
    <col min="1" max="1" width="25.15234375" bestFit="1" customWidth="1"/>
    <col min="2" max="2" width="13.765625" bestFit="1" customWidth="1"/>
    <col min="4" max="4" width="11.3828125" bestFit="1" customWidth="1"/>
    <col min="5" max="5" width="12.4609375" bestFit="1" customWidth="1"/>
    <col min="6" max="6" width="8.4609375" bestFit="1" customWidth="1"/>
  </cols>
  <sheetData>
    <row r="1" spans="1:9" x14ac:dyDescent="0.4">
      <c r="A1" s="1" t="s">
        <v>0</v>
      </c>
      <c r="B1" s="1"/>
      <c r="C1" s="1"/>
      <c r="D1" s="1"/>
      <c r="E1" s="1"/>
      <c r="F1" s="1"/>
    </row>
    <row r="2" spans="1:9" x14ac:dyDescent="0.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/>
    </row>
    <row r="3" spans="1:9" x14ac:dyDescent="0.4">
      <c r="A3" s="8" t="s">
        <v>6</v>
      </c>
      <c r="B3" s="8">
        <v>1900</v>
      </c>
      <c r="C3" s="8">
        <v>0</v>
      </c>
      <c r="D3" s="8">
        <v>1900</v>
      </c>
      <c r="E3" s="8">
        <v>0</v>
      </c>
      <c r="F3" s="1"/>
    </row>
    <row r="4" spans="1:9" x14ac:dyDescent="0.4">
      <c r="A4" s="4" t="s">
        <v>7</v>
      </c>
      <c r="B4" s="4">
        <v>1300</v>
      </c>
      <c r="C4" s="4">
        <v>0</v>
      </c>
      <c r="D4" s="4">
        <v>1300</v>
      </c>
      <c r="E4" s="4">
        <v>0</v>
      </c>
      <c r="F4" s="1"/>
    </row>
    <row r="5" spans="1:9" s="9" customFormat="1" x14ac:dyDescent="0.4">
      <c r="A5" s="8" t="s">
        <v>8</v>
      </c>
      <c r="B5" s="8">
        <v>10500</v>
      </c>
      <c r="C5" s="8">
        <v>5000</v>
      </c>
      <c r="D5" s="8">
        <v>2500</v>
      </c>
      <c r="E5" s="8">
        <v>3000</v>
      </c>
    </row>
    <row r="6" spans="1:9" x14ac:dyDescent="0.4">
      <c r="A6" s="4" t="s">
        <v>9</v>
      </c>
      <c r="B6" s="4">
        <v>800</v>
      </c>
      <c r="C6" s="4">
        <v>0</v>
      </c>
      <c r="D6" s="4">
        <v>0</v>
      </c>
      <c r="E6" s="4">
        <v>800</v>
      </c>
      <c r="F6" s="1"/>
    </row>
    <row r="7" spans="1:9" x14ac:dyDescent="0.4">
      <c r="A7" s="8" t="s">
        <v>10</v>
      </c>
      <c r="B7" s="8">
        <v>160</v>
      </c>
      <c r="C7" s="8">
        <v>0</v>
      </c>
      <c r="D7" s="8">
        <v>160</v>
      </c>
      <c r="E7" s="8">
        <v>0</v>
      </c>
      <c r="F7" s="1"/>
    </row>
    <row r="8" spans="1:9" x14ac:dyDescent="0.4">
      <c r="A8" s="4" t="s">
        <v>11</v>
      </c>
      <c r="B8" s="4">
        <v>280</v>
      </c>
      <c r="C8" s="4">
        <v>0</v>
      </c>
      <c r="D8" s="4">
        <v>0</v>
      </c>
      <c r="E8" s="4">
        <v>280</v>
      </c>
      <c r="F8" s="1"/>
    </row>
    <row r="9" spans="1:9" x14ac:dyDescent="0.4">
      <c r="A9" s="8" t="s">
        <v>12</v>
      </c>
      <c r="B9" s="8">
        <v>360</v>
      </c>
      <c r="C9" s="8">
        <v>0</v>
      </c>
      <c r="D9" s="8">
        <v>360</v>
      </c>
      <c r="E9" s="8">
        <v>0</v>
      </c>
      <c r="F9" s="1"/>
    </row>
    <row r="10" spans="1:9" x14ac:dyDescent="0.4">
      <c r="A10" s="4" t="s">
        <v>13</v>
      </c>
      <c r="B10" s="4">
        <v>60</v>
      </c>
      <c r="C10" s="4">
        <v>0</v>
      </c>
      <c r="D10" s="4">
        <v>60</v>
      </c>
      <c r="E10" s="4">
        <v>0</v>
      </c>
      <c r="F10" s="1"/>
    </row>
    <row r="11" spans="1:9" x14ac:dyDescent="0.4">
      <c r="A11" s="8" t="s">
        <v>14</v>
      </c>
      <c r="B11" s="8">
        <v>892</v>
      </c>
      <c r="C11" s="8">
        <v>0</v>
      </c>
      <c r="D11" s="8">
        <v>892</v>
      </c>
      <c r="E11" s="8">
        <v>0</v>
      </c>
      <c r="F11" s="1"/>
    </row>
    <row r="12" spans="1:9" x14ac:dyDescent="0.4">
      <c r="A12" s="9" t="s">
        <v>28</v>
      </c>
      <c r="B12" s="9">
        <v>2000</v>
      </c>
      <c r="C12" s="9">
        <v>0</v>
      </c>
      <c r="D12" s="10">
        <v>0</v>
      </c>
      <c r="E12" s="9">
        <v>2000</v>
      </c>
      <c r="F12" s="1"/>
    </row>
    <row r="13" spans="1:9" x14ac:dyDescent="0.4">
      <c r="A13" s="8" t="s">
        <v>29</v>
      </c>
      <c r="B13" s="8">
        <v>1377.29</v>
      </c>
      <c r="C13" s="8">
        <v>0</v>
      </c>
      <c r="D13" s="8">
        <v>1377.29</v>
      </c>
      <c r="E13" s="8">
        <v>0</v>
      </c>
      <c r="F13" s="1"/>
    </row>
    <row r="14" spans="1:9" x14ac:dyDescent="0.4">
      <c r="A14" s="4" t="s">
        <v>12</v>
      </c>
      <c r="B14" s="4">
        <v>316.17</v>
      </c>
      <c r="C14" s="4">
        <v>0</v>
      </c>
      <c r="D14" s="4">
        <v>0</v>
      </c>
      <c r="E14" s="4">
        <v>316.17</v>
      </c>
      <c r="F14" s="1"/>
    </row>
    <row r="15" spans="1:9" x14ac:dyDescent="0.4">
      <c r="A15" s="8" t="s">
        <v>30</v>
      </c>
      <c r="B15" s="8">
        <v>229.9</v>
      </c>
      <c r="C15" s="8">
        <v>0</v>
      </c>
      <c r="D15" s="8">
        <v>229.9</v>
      </c>
      <c r="E15" s="8">
        <v>0</v>
      </c>
      <c r="F15" s="1"/>
      <c r="I15" s="11"/>
    </row>
    <row r="16" spans="1:9" x14ac:dyDescent="0.4">
      <c r="A16" s="4" t="s">
        <v>31</v>
      </c>
      <c r="B16" s="4">
        <v>1700</v>
      </c>
      <c r="C16" s="4">
        <v>1700</v>
      </c>
      <c r="D16" s="4">
        <v>0</v>
      </c>
      <c r="E16" s="4">
        <v>0</v>
      </c>
      <c r="F16" s="1"/>
    </row>
    <row r="17" spans="1:6" x14ac:dyDescent="0.4">
      <c r="A17" s="8"/>
      <c r="B17" s="8"/>
      <c r="C17" s="8"/>
      <c r="D17" s="8"/>
      <c r="E17" s="8"/>
      <c r="F17" s="1"/>
    </row>
    <row r="18" spans="1:6" x14ac:dyDescent="0.4">
      <c r="A18" s="3" t="s">
        <v>15</v>
      </c>
      <c r="B18" s="3">
        <f t="shared" ref="B18:D18" si="0">SUM(B3:B17)</f>
        <v>21875.360000000001</v>
      </c>
      <c r="C18" s="3">
        <f t="shared" si="0"/>
        <v>6700</v>
      </c>
      <c r="D18" s="3">
        <f t="shared" si="0"/>
        <v>8779.19</v>
      </c>
      <c r="E18" s="3">
        <f>SUM(E3:E17)</f>
        <v>6396.17</v>
      </c>
      <c r="F18" s="1"/>
    </row>
    <row r="19" spans="1:6" x14ac:dyDescent="0.4">
      <c r="A19" s="1"/>
      <c r="B19" s="1"/>
      <c r="C19" s="1"/>
      <c r="D19" s="1"/>
      <c r="E19" s="1"/>
      <c r="F19" s="1"/>
    </row>
    <row r="20" spans="1:6" x14ac:dyDescent="0.4">
      <c r="A20" s="2" t="s">
        <v>16</v>
      </c>
      <c r="B20" s="1"/>
      <c r="C20" s="1"/>
      <c r="D20" s="1"/>
      <c r="E20" s="1"/>
      <c r="F20" s="1"/>
    </row>
    <row r="21" spans="1:6" x14ac:dyDescent="0.4">
      <c r="A21" s="3" t="s">
        <v>17</v>
      </c>
      <c r="B21" s="3" t="s">
        <v>18</v>
      </c>
      <c r="C21" s="3" t="s">
        <v>19</v>
      </c>
      <c r="D21" s="3" t="s">
        <v>20</v>
      </c>
      <c r="E21" s="1"/>
      <c r="F21" s="1"/>
    </row>
    <row r="22" spans="1:6" x14ac:dyDescent="0.4">
      <c r="A22" s="5">
        <v>46143</v>
      </c>
      <c r="B22" s="4" t="s">
        <v>3</v>
      </c>
      <c r="C22" s="4" t="s">
        <v>4</v>
      </c>
      <c r="D22" s="4">
        <v>1066.6600000000001</v>
      </c>
      <c r="E22" s="1"/>
      <c r="F22" s="1"/>
    </row>
    <row r="23" spans="1:6" x14ac:dyDescent="0.4">
      <c r="A23" s="1"/>
      <c r="B23" s="1"/>
      <c r="C23" s="1"/>
      <c r="D23" s="1"/>
      <c r="E23" s="1"/>
      <c r="F23" s="1"/>
    </row>
    <row r="24" spans="1:6" x14ac:dyDescent="0.4">
      <c r="A24" s="2" t="s">
        <v>21</v>
      </c>
      <c r="B24" s="1"/>
      <c r="C24" s="1"/>
      <c r="D24" s="1"/>
      <c r="E24" s="1"/>
      <c r="F24" s="1"/>
    </row>
    <row r="25" spans="1:6" x14ac:dyDescent="0.4">
      <c r="A25" s="3" t="s">
        <v>22</v>
      </c>
      <c r="B25" s="3" t="s">
        <v>23</v>
      </c>
      <c r="C25" s="3" t="s">
        <v>24</v>
      </c>
      <c r="D25" s="3" t="s">
        <v>25</v>
      </c>
      <c r="E25" s="3" t="s">
        <v>26</v>
      </c>
      <c r="F25" s="3" t="s">
        <v>27</v>
      </c>
    </row>
    <row r="26" spans="1:6" x14ac:dyDescent="0.4">
      <c r="A26" s="4" t="s">
        <v>3</v>
      </c>
      <c r="B26" s="4">
        <f>C18</f>
        <v>6700</v>
      </c>
      <c r="C26" s="4">
        <f>B18/3</f>
        <v>7291.7866666666669</v>
      </c>
      <c r="D26" s="4">
        <v>1066.6600000000001</v>
      </c>
      <c r="E26" s="4">
        <v>0</v>
      </c>
      <c r="F26" s="6">
        <f>B26+D26-C26</f>
        <v>474.87333333333299</v>
      </c>
    </row>
    <row r="27" spans="1:6" x14ac:dyDescent="0.4">
      <c r="A27" s="4" t="s">
        <v>4</v>
      </c>
      <c r="B27" s="4">
        <f>D18</f>
        <v>8779.19</v>
      </c>
      <c r="C27" s="4">
        <f>B18/3</f>
        <v>7291.7866666666669</v>
      </c>
      <c r="D27" s="4"/>
      <c r="E27" s="4">
        <v>1066.6600000000001</v>
      </c>
      <c r="F27" s="7">
        <f>B27-E27-C27</f>
        <v>420.74333333333379</v>
      </c>
    </row>
    <row r="28" spans="1:6" x14ac:dyDescent="0.4">
      <c r="A28" s="4" t="s">
        <v>5</v>
      </c>
      <c r="B28" s="4">
        <f>E18</f>
        <v>6396.17</v>
      </c>
      <c r="C28" s="4">
        <f>B18/3</f>
        <v>7291.7866666666669</v>
      </c>
      <c r="D28" s="4"/>
      <c r="E28" s="4">
        <v>0</v>
      </c>
      <c r="F28" s="6">
        <f>B28+D28-C28</f>
        <v>-895.61666666666679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Tadao Katayama</dc:creator>
  <cp:lastModifiedBy>Gustavo Katayama</cp:lastModifiedBy>
  <dcterms:created xsi:type="dcterms:W3CDTF">2026-08-04T19:18:11Z</dcterms:created>
  <dcterms:modified xsi:type="dcterms:W3CDTF">2026-08-23T16:10:49Z</dcterms:modified>
</cp:coreProperties>
</file>